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6467f0bb0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碳排放活动数据" sheetId="1" r:id="Rb9f678a7dd8e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0000"/>
    <x:numFmt numFmtId="203" formatCode="0.000"/>
  </x:numFmts>
  <x:fonts count="6">
    <x:font>
      <x:sz val="11"/>
      <x:name val="Carlito"/>
    </x:font>
    <x:font>
      <x:b/>
      <x:sz val="18"/>
      <x:color rgb="FFEDF6FF"/>
      <x:name val="Carlito"/>
    </x:font>
    <x:font>
      <x:b/>
      <x:sz val="11"/>
      <x:color rgb="FF8A5B00"/>
      <x:name val="Carlito"/>
    </x:font>
    <x:font>
      <x:b/>
      <x:sz val="11"/>
      <x:color rgb="FFEDF6FF"/>
      <x:name val="Carlito"/>
    </x:font>
    <x:font>
      <x:sz val="10"/>
      <x:color rgb="FF17324A"/>
      <x:name val="Carlito"/>
    </x:font>
    <x:font>
      <x:b/>
      <x:sz val="10"/>
      <x:color rgb="FF126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A2A"/>
      </x:patternFill>
    </x:fill>
    <x:fill>
      <x:patternFill patternType="solid">
        <x:fgColor rgb="FFFFF4D6"/>
      </x:patternFill>
    </x:fill>
    <x:fill>
      <x:patternFill patternType="solid">
        <x:fgColor rgb="FF0A2234"/>
      </x:patternFill>
    </x:fill>
    <x:fill>
      <x:patternFill patternType="solid">
        <x:fgColor rgb="FFE6F7F0"/>
      </x:patternFill>
    </x:fill>
  </x:fills>
  <x:borders count="7">
    <x:border/>
    <x:border>
      <x:left style="thin">
        <x:color rgb="FF23A9FF"/>
      </x:left>
      <x:top style="thin">
        <x:color rgb="FF23A9FF"/>
      </x:top>
      <x:bottom style="thin">
        <x:color rgb="FF23A9FF"/>
      </x:bottom>
    </x:border>
    <x:border>
      <x:top style="thin">
        <x:color rgb="FF23A9FF"/>
      </x:top>
      <x:bottom style="thin">
        <x:color rgb="FF23A9FF"/>
      </x:bottom>
    </x:border>
    <x:border>
      <x:right style="thin">
        <x:color rgb="FF23A9FF"/>
      </x:right>
      <x:top style="thin">
        <x:color rgb="FF23A9FF"/>
      </x:top>
      <x:bottom style="thin">
        <x:color rgb="FF23A9FF"/>
      </x:bottom>
    </x:border>
    <x:border>
      <x:bottom style="thin">
        <x:color rgb="FFD7E5EE"/>
      </x:bottom>
    </x:border>
    <x:border>
      <x:top style="thin">
        <x:color rgb="FFD7E5EE"/>
      </x:top>
      <x:bottom style="thin">
        <x:color rgb="FFD7E5EE"/>
      </x:bottom>
    </x:border>
    <x:border>
      <x:top style="thin">
        <x:color rgb="FFD7E5EE"/>
      </x:top>
      <x:bottom style="thin">
        <x:color rgb="FFB8CEDD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203" fontId="5" fillId="5" borderId="4" xfId="0" applyNumberFormat="1" applyFont="1" applyFill="1" applyBorder="1" applyAlignment="1">
      <x:alignment vertical="center"/>
    </x:xf>
    <x:xf numFmtId="203" fontId="5" fillId="5" borderId="5" xfId="0" applyNumberFormat="1" applyFont="1" applyFill="1" applyBorder="1" applyAlignment="1">
      <x:alignment vertical="center"/>
    </x:xf>
    <x:xf numFmtId="203" fontId="5" fillId="5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312b36e824b8d" /><Relationship Type="http://schemas.openxmlformats.org/officeDocument/2006/relationships/theme" Target="/xl/theme/theme1.xml" Id="R166c1dafb7404469" /><Relationship Type="http://schemas.openxmlformats.org/officeDocument/2006/relationships/sharedStrings" Target="/xl/sharedStrings.xml" Id="Rdfe7f6dbbffc4156" /><Relationship Type="http://schemas.openxmlformats.org/officeDocument/2006/relationships/worksheet" Target="/xl/worksheets/sheet1.xml" Id="Rb9f678a7dd8e492f" /></Relationships>
</file>

<file path=xl/tables/table1.xml><?xml version="1.0" encoding="utf-8"?>
<x:table xmlns:x="http://schemas.openxmlformats.org/spreadsheetml/2006/main" id="1" name="CarbonActivityTable" displayName="CarbonActivityTable" ref="A4:K14" headerRowCount="1" totalsRowCount="0" totalsRowShown="0">
  <x:tableColumns count="11">
    <x:tableColumn id="1" name="活动编号"/>
    <x:tableColumn id="2" name="发生日期"/>
    <x:tableColumn id="3" name="标段"/>
    <x:tableColumn id="4" name="排放源类别"/>
    <x:tableColumn id="5" name="活动名称"/>
    <x:tableColumn id="6" name="活动量"/>
    <x:tableColumn id="7" name="活动单位"/>
    <x:tableColumn id="8" name="排放因子"/>
    <x:tableColumn id="9" name="因子单位"/>
    <x:tableColumn id="10" name="排放量（tCO₂e）"/>
    <x:tableColumn id="11" name="数据性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3ee0cdcd764b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7" hidden="0" customWidth="1"/>
    <x:col min="5" max="5" width="25" hidden="0" customWidth="1"/>
    <x:col min="6" max="6" width="13" hidden="0" customWidth="1"/>
    <x:col min="7" max="7" width="13" hidden="0" customWidth="1"/>
    <x:col min="8" max="8" width="14" hidden="0" customWidth="1"/>
    <x:col min="9" max="9" width="18" hidden="0" customWidth="1"/>
    <x:col min="10" max="10" width="20" hidden="0" customWidth="1"/>
    <x:col min="11" max="11" width="12" hidden="0" customWidth="1"/>
  </x:cols>
  <x:sheetData>
    <x:row r="1" ht="32" customHeight="1">
      <x:c r="A1" s="4" t="str">
        <x:v>罗宜高速 ESG 智能数据填报演示数据</x:v>
      </x:c>
    </x:row>
    <x:row r="2" ht="24" customHeight="1">
      <x:c r="A2" s="8" t="str">
        <x:v>数据性质：demo｜仅用于页面流程验收，不计入正式 KPI</x:v>
      </x:c>
    </x:row>
    <x:row r="4" ht="30" customHeight="1">
      <x:c r="A4" s="20" t="str">
        <x:v>活动编号</x:v>
      </x:c>
      <x:c r="B4" s="21" t="str">
        <x:v>发生日期</x:v>
      </x:c>
      <x:c r="C4" s="21" t="str">
        <x:v>标段</x:v>
      </x:c>
      <x:c r="D4" s="21" t="str">
        <x:v>排放源类别</x:v>
      </x:c>
      <x:c r="E4" s="21" t="str">
        <x:v>活动名称</x:v>
      </x:c>
      <x:c r="F4" s="21" t="str">
        <x:v>活动量</x:v>
      </x:c>
      <x:c r="G4" s="21" t="str">
        <x:v>活动单位</x:v>
      </x:c>
      <x:c r="H4" s="21" t="str">
        <x:v>排放因子</x:v>
      </x:c>
      <x:c r="I4" s="21" t="str">
        <x:v>因子单位</x:v>
      </x:c>
      <x:c r="J4" s="21" t="str">
        <x:v>排放量（tCO₂e）</x:v>
      </x:c>
      <x:c r="K4" s="22" t="str">
        <x:v>数据性质</x:v>
      </x:c>
    </x:row>
    <x:row r="5" ht="23" customHeight="1">
      <x:c r="A5" s="27" t="str">
        <x:v>CE-202606-001</x:v>
      </x:c>
      <x:c r="B5" s="30" t="n">
        <x:v>46175</x:v>
      </x:c>
      <x:c r="C5" s="27" t="str">
        <x:v>TJ-01</x:v>
      </x:c>
      <x:c r="D5" s="27" t="str">
        <x:v>购入电力</x:v>
      </x:c>
      <x:c r="E5" s="27" t="str">
        <x:v>办公区购入电力</x:v>
      </x:c>
      <x:c r="F5" s="33" t="n">
        <x:v>82500</x:v>
      </x:c>
      <x:c r="G5" s="27" t="str">
        <x:v>kWh</x:v>
      </x:c>
      <x:c r="H5" s="36" t="n">
        <x:v>0.0005703</x:v>
      </x:c>
      <x:c r="I5" s="27" t="str">
        <x:v>tCO₂e/kWh</x:v>
      </x:c>
      <x:c r="J5" s="45" t="n">
        <x:f>F5*H5</x:f>
        <x:v>47.04975</x:v>
      </x:c>
      <x:c r="K5" s="27" t="str">
        <x:v>demo</x:v>
      </x:c>
    </x:row>
    <x:row r="6" ht="23" customHeight="1">
      <x:c r="A6" s="28" t="str">
        <x:v>CE-202606-002</x:v>
      </x:c>
      <x:c r="B6" s="31" t="n">
        <x:v>46178</x:v>
      </x:c>
      <x:c r="C6" s="28" t="str">
        <x:v>TJ-02</x:v>
      </x:c>
      <x:c r="D6" s="28" t="str">
        <x:v>购入电力</x:v>
      </x:c>
      <x:c r="E6" s="28" t="str">
        <x:v>拌合站购入电力</x:v>
      </x:c>
      <x:c r="F6" s="34" t="n">
        <x:v>126000</x:v>
      </x:c>
      <x:c r="G6" s="28" t="str">
        <x:v>kWh</x:v>
      </x:c>
      <x:c r="H6" s="37" t="n">
        <x:v>0.0005703</x:v>
      </x:c>
      <x:c r="I6" s="28" t="str">
        <x:v>tCO₂e/kWh</x:v>
      </x:c>
      <x:c r="J6" s="46" t="n">
        <x:f>F6*H6</x:f>
        <x:v>71.85780000000001</x:v>
      </x:c>
      <x:c r="K6" s="28" t="str">
        <x:v>demo</x:v>
      </x:c>
    </x:row>
    <x:row r="7" ht="23" customHeight="1">
      <x:c r="A7" s="28" t="str">
        <x:v>CE-202606-003</x:v>
      </x:c>
      <x:c r="B7" s="31" t="n">
        <x:v>46180</x:v>
      </x:c>
      <x:c r="C7" s="28" t="str">
        <x:v>TJ-01</x:v>
      </x:c>
      <x:c r="D7" s="28" t="str">
        <x:v>柴油燃烧</x:v>
      </x:c>
      <x:c r="E7" s="28" t="str">
        <x:v>施工机械柴油消耗</x:v>
      </x:c>
      <x:c r="F7" s="34" t="n">
        <x:v>18400</x:v>
      </x:c>
      <x:c r="G7" s="28" t="str">
        <x:v>L</x:v>
      </x:c>
      <x:c r="H7" s="37" t="n">
        <x:v>0.00268</x:v>
      </x:c>
      <x:c r="I7" s="28" t="str">
        <x:v>tCO₂e/L</x:v>
      </x:c>
      <x:c r="J7" s="46" t="n">
        <x:f>F7*H7</x:f>
        <x:v>49.312000000000005</x:v>
      </x:c>
      <x:c r="K7" s="28" t="str">
        <x:v>demo</x:v>
      </x:c>
    </x:row>
    <x:row r="8" ht="23" customHeight="1">
      <x:c r="A8" s="28" t="str">
        <x:v>CE-202606-004</x:v>
      </x:c>
      <x:c r="B8" s="31" t="n">
        <x:v>46183</x:v>
      </x:c>
      <x:c r="C8" s="28" t="str">
        <x:v>TJ-03</x:v>
      </x:c>
      <x:c r="D8" s="28" t="str">
        <x:v>柴油燃烧</x:v>
      </x:c>
      <x:c r="E8" s="28" t="str">
        <x:v>运输车辆柴油消耗</x:v>
      </x:c>
      <x:c r="F8" s="34" t="n">
        <x:v>21600</x:v>
      </x:c>
      <x:c r="G8" s="28" t="str">
        <x:v>L</x:v>
      </x:c>
      <x:c r="H8" s="37" t="n">
        <x:v>0.00268</x:v>
      </x:c>
      <x:c r="I8" s="28" t="str">
        <x:v>tCO₂e/L</x:v>
      </x:c>
      <x:c r="J8" s="46" t="n">
        <x:f>F8*H8</x:f>
        <x:v>57.888000000000005</x:v>
      </x:c>
      <x:c r="K8" s="28" t="str">
        <x:v>demo</x:v>
      </x:c>
    </x:row>
    <x:row r="9" ht="23" customHeight="1">
      <x:c r="A9" s="28" t="str">
        <x:v>CE-202606-005</x:v>
      </x:c>
      <x:c r="B9" s="31" t="n">
        <x:v>46185</x:v>
      </x:c>
      <x:c r="C9" s="28" t="str">
        <x:v>TJ-02</x:v>
      </x:c>
      <x:c r="D9" s="28" t="str">
        <x:v>水泥</x:v>
      </x:c>
      <x:c r="E9" s="28" t="str">
        <x:v>P.O 42.5 水泥使用</x:v>
      </x:c>
      <x:c r="F9" s="34" t="n">
        <x:v>680</x:v>
      </x:c>
      <x:c r="G9" s="28" t="str">
        <x:v>t</x:v>
      </x:c>
      <x:c r="H9" s="37" t="n">
        <x:v>0.785</x:v>
      </x:c>
      <x:c r="I9" s="28" t="str">
        <x:v>tCO₂e/t</x:v>
      </x:c>
      <x:c r="J9" s="46" t="n">
        <x:f>F9*H9</x:f>
        <x:v>533.8000000000001</x:v>
      </x:c>
      <x:c r="K9" s="28" t="str">
        <x:v>demo</x:v>
      </x:c>
    </x:row>
    <x:row r="10" ht="23" customHeight="1">
      <x:c r="A10" s="28" t="str">
        <x:v>CE-202606-006</x:v>
      </x:c>
      <x:c r="B10" s="31" t="n">
        <x:v>46188</x:v>
      </x:c>
      <x:c r="C10" s="28" t="str">
        <x:v>TJ-04</x:v>
      </x:c>
      <x:c r="D10" s="28" t="str">
        <x:v>水泥</x:v>
      </x:c>
      <x:c r="E10" s="28" t="str">
        <x:v>P.O 42.5 水泥使用</x:v>
      </x:c>
      <x:c r="F10" s="34" t="n">
        <x:v>745</x:v>
      </x:c>
      <x:c r="G10" s="28" t="str">
        <x:v>t</x:v>
      </x:c>
      <x:c r="H10" s="37" t="n">
        <x:v>0.785</x:v>
      </x:c>
      <x:c r="I10" s="28" t="str">
        <x:v>tCO₂e/t</x:v>
      </x:c>
      <x:c r="J10" s="46" t="n">
        <x:f>F10*H10</x:f>
        <x:v>584.825</x:v>
      </x:c>
      <x:c r="K10" s="28" t="str">
        <x:v>demo</x:v>
      </x:c>
    </x:row>
    <x:row r="11" ht="23" customHeight="1">
      <x:c r="A11" s="28" t="str">
        <x:v>CE-202606-007</x:v>
      </x:c>
      <x:c r="B11" s="31" t="n">
        <x:v>46191</x:v>
      </x:c>
      <x:c r="C11" s="28" t="str">
        <x:v>TJ-03</x:v>
      </x:c>
      <x:c r="D11" s="28" t="str">
        <x:v>钢筋</x:v>
      </x:c>
      <x:c r="E11" s="28" t="str">
        <x:v>HRB400 钢筋使用</x:v>
      </x:c>
      <x:c r="F11" s="34" t="n">
        <x:v>520</x:v>
      </x:c>
      <x:c r="G11" s="28" t="str">
        <x:v>t</x:v>
      </x:c>
      <x:c r="H11" s="37" t="n">
        <x:v>1.9</x:v>
      </x:c>
      <x:c r="I11" s="28" t="str">
        <x:v>tCO₂e/t</x:v>
      </x:c>
      <x:c r="J11" s="46" t="n">
        <x:f>F11*H11</x:f>
        <x:v>988</x:v>
      </x:c>
      <x:c r="K11" s="28" t="str">
        <x:v>demo</x:v>
      </x:c>
    </x:row>
    <x:row r="12" ht="23" customHeight="1">
      <x:c r="A12" s="28" t="str">
        <x:v>CE-202606-008</x:v>
      </x:c>
      <x:c r="B12" s="31" t="n">
        <x:v>46193</x:v>
      </x:c>
      <x:c r="C12" s="28" t="str">
        <x:v>TJ-05</x:v>
      </x:c>
      <x:c r="D12" s="28" t="str">
        <x:v>钢筋</x:v>
      </x:c>
      <x:c r="E12" s="28" t="str">
        <x:v>HRB400 钢筋使用</x:v>
      </x:c>
      <x:c r="F12" s="34" t="n">
        <x:v>460</x:v>
      </x:c>
      <x:c r="G12" s="28" t="str">
        <x:v>t</x:v>
      </x:c>
      <x:c r="H12" s="37" t="n">
        <x:v>1.9</x:v>
      </x:c>
      <x:c r="I12" s="28" t="str">
        <x:v>tCO₂e/t</x:v>
      </x:c>
      <x:c r="J12" s="46" t="n">
        <x:f>F12*H12</x:f>
        <x:v>874</x:v>
      </x:c>
      <x:c r="K12" s="28" t="str">
        <x:v>demo</x:v>
      </x:c>
    </x:row>
    <x:row r="13" ht="23" customHeight="1">
      <x:c r="A13" s="28" t="str">
        <x:v>CE-202606-009</x:v>
      </x:c>
      <x:c r="B13" s="31" t="n">
        <x:v>46197</x:v>
      </x:c>
      <x:c r="C13" s="28" t="str">
        <x:v>TJ-04</x:v>
      </x:c>
      <x:c r="D13" s="28" t="str">
        <x:v>商品混凝土</x:v>
      </x:c>
      <x:c r="E13" s="28" t="str">
        <x:v>C30 商品混凝土使用</x:v>
      </x:c>
      <x:c r="F13" s="34" t="n">
        <x:v>3850</x:v>
      </x:c>
      <x:c r="G13" s="28" t="str">
        <x:v>m³</x:v>
      </x:c>
      <x:c r="H13" s="37" t="n">
        <x:v>0.15</x:v>
      </x:c>
      <x:c r="I13" s="28" t="str">
        <x:v>tCO₂e/m³</x:v>
      </x:c>
      <x:c r="J13" s="46" t="n">
        <x:f>F13*H13</x:f>
        <x:v>577.5</x:v>
      </x:c>
      <x:c r="K13" s="28" t="str">
        <x:v>demo</x:v>
      </x:c>
    </x:row>
    <x:row r="14" ht="23" customHeight="1">
      <x:c r="A14" s="29" t="str">
        <x:v>CE-202606-010</x:v>
      </x:c>
      <x:c r="B14" s="32" t="n">
        <x:v>46201</x:v>
      </x:c>
      <x:c r="C14" s="29" t="str">
        <x:v>TJ-05</x:v>
      </x:c>
      <x:c r="D14" s="29" t="str">
        <x:v>商品混凝土</x:v>
      </x:c>
      <x:c r="E14" s="29" t="str">
        <x:v>C40 商品混凝土使用</x:v>
      </x:c>
      <x:c r="F14" s="35" t="n">
        <x:v>2940</x:v>
      </x:c>
      <x:c r="G14" s="29" t="str">
        <x:v>m³</x:v>
      </x:c>
      <x:c r="H14" s="38" t="n">
        <x:v>0.15</x:v>
      </x:c>
      <x:c r="I14" s="29" t="str">
        <x:v>tCO₂e/m³</x:v>
      </x:c>
      <x:c r="J14" s="47" t="n">
        <x:f>F14*H14</x:f>
        <x:v>441</x:v>
      </x:c>
      <x:c r="K14" s="29" t="str">
        <x:v>demo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3ee0cdcd764be9"/>
  </x:tableParts>
</x:worksheet>
</file>